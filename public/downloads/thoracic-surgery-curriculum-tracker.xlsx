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Session Log" sheetId="4" state="visible" r:id="rId4"/>
    <sheet xmlns:r="http://schemas.openxmlformats.org/officeDocument/2006/relationships" name="Attempts Log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Thoracic Surgery Curriculum Tracker</t>
        </is>
      </c>
      <c r="B1" s="2" t="n"/>
    </row>
    <row r="2">
      <c r="A2" s="2" t="n"/>
      <c r="B2" s="2" t="n"/>
    </row>
    <row r="3">
      <c r="A3" s="3" t="inlineStr">
        <is>
          <t>Purpose</t>
        </is>
      </c>
      <c r="B3" s="2" t="inlineStr">
        <is>
          <t>Use this workbook to track module completion, quiz scores, checklist performance, rubric scores, objective metrics, remediation, and entrustment decisions.</t>
        </is>
      </c>
    </row>
    <row r="4">
      <c r="A4" s="2" t="n"/>
      <c r="B4" s="2" t="n"/>
    </row>
    <row r="5">
      <c r="A5" s="3" t="inlineStr">
        <is>
          <t>How to use</t>
        </is>
      </c>
      <c r="B5" s="2" t="n"/>
    </row>
    <row r="6">
      <c r="A6" s="2" t="n"/>
      <c r="B6" s="2" t="inlineStr">
        <is>
          <t>1. Populate the Roster tab with trainees and faculty names.</t>
        </is>
      </c>
    </row>
    <row r="7">
      <c r="A7" s="2" t="n"/>
      <c r="B7" s="2" t="inlineStr">
        <is>
          <t>2. Review the Modules tab and adjust passing thresholds to local preference.</t>
        </is>
      </c>
    </row>
    <row r="8">
      <c r="A8" s="2" t="n"/>
      <c r="B8" s="2" t="inlineStr">
        <is>
          <t>3. Enter one row per trainee per session in Session Log.</t>
        </is>
      </c>
    </row>
    <row r="9">
      <c r="A9" s="2" t="n"/>
      <c r="B9" s="2" t="inlineStr">
        <is>
          <t>4. Optionally enter individual repeated attempts in Attempts Log.</t>
        </is>
      </c>
    </row>
    <row r="10">
      <c r="A10" s="2" t="n"/>
      <c r="B10" s="2" t="inlineStr">
        <is>
          <t>5. Review Dashboard after each session to identify trainees who need remediation.</t>
        </is>
      </c>
    </row>
    <row r="11">
      <c r="A11" s="2" t="n"/>
      <c r="B11" s="2" t="n"/>
    </row>
    <row r="12">
      <c r="A12" s="2" t="n"/>
      <c r="B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8" customWidth="1" min="7" max="7"/>
    <col width="10" customWidth="1" min="8" max="8"/>
  </cols>
  <sheetData>
    <row r="1">
      <c r="A1" s="4" t="inlineStr">
        <is>
          <t>Trainee ID</t>
        </is>
      </c>
      <c r="B1" s="4" t="inlineStr">
        <is>
          <t>Last Name</t>
        </is>
      </c>
      <c r="C1" s="4" t="inlineStr">
        <is>
          <t>First Name</t>
        </is>
      </c>
      <c r="D1" s="4" t="inlineStr">
        <is>
          <t>Role</t>
        </is>
      </c>
      <c r="E1" s="4" t="inlineStr">
        <is>
          <t>PGY/Level</t>
        </is>
      </c>
      <c r="F1" s="4" t="inlineStr">
        <is>
          <t>Start Date</t>
        </is>
      </c>
      <c r="G1" s="4" t="inlineStr">
        <is>
          <t>Faculty Coach</t>
        </is>
      </c>
      <c r="H1" s="4" t="inlineStr">
        <is>
          <t>Active</t>
        </is>
      </c>
    </row>
    <row r="2">
      <c r="A2" s="5" t="inlineStr">
        <is>
          <t>R001</t>
        </is>
      </c>
      <c r="B2" s="5" t="inlineStr">
        <is>
          <t>Sample</t>
        </is>
      </c>
      <c r="C2" s="5" t="inlineStr">
        <is>
          <t>Alex</t>
        </is>
      </c>
      <c r="D2" s="5" t="inlineStr">
        <is>
          <t>Resident</t>
        </is>
      </c>
      <c r="E2" s="5" t="inlineStr">
        <is>
          <t>PGY1</t>
        </is>
      </c>
      <c r="F2" s="5" t="inlineStr">
        <is>
          <t>2026-07-01</t>
        </is>
      </c>
      <c r="G2" s="5" t="inlineStr">
        <is>
          <t>Faculty A</t>
        </is>
      </c>
      <c r="H2" s="5" t="inlineStr">
        <is>
          <t>Yes</t>
        </is>
      </c>
    </row>
    <row r="3">
      <c r="A3" s="5" t="inlineStr">
        <is>
          <t>R002</t>
        </is>
      </c>
      <c r="B3" s="5" t="inlineStr">
        <is>
          <t>Sample</t>
        </is>
      </c>
      <c r="C3" s="5" t="inlineStr">
        <is>
          <t>Jordan</t>
        </is>
      </c>
      <c r="D3" s="5" t="inlineStr">
        <is>
          <t>Resident</t>
        </is>
      </c>
      <c r="E3" s="5" t="inlineStr">
        <is>
          <t>PGY3</t>
        </is>
      </c>
      <c r="F3" s="5" t="inlineStr">
        <is>
          <t>2026-07-01</t>
        </is>
      </c>
      <c r="G3" s="5" t="inlineStr">
        <is>
          <t>Faculty B</t>
        </is>
      </c>
      <c r="H3" s="5" t="inlineStr">
        <is>
          <t>Yes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1" customWidth="1" min="4" max="4"/>
    <col width="14" customWidth="1" min="5" max="5"/>
    <col width="14" customWidth="1" min="6" max="6"/>
    <col width="22" customWidth="1" min="7" max="7"/>
    <col width="35" customWidth="1" min="8" max="8"/>
  </cols>
  <sheetData>
    <row r="1">
      <c r="A1" s="4" t="inlineStr">
        <is>
          <t>Module Code</t>
        </is>
      </c>
      <c r="B1" s="4" t="inlineStr">
        <is>
          <t>Module Name</t>
        </is>
      </c>
      <c r="C1" s="4" t="inlineStr">
        <is>
          <t>Audience</t>
        </is>
      </c>
      <c r="D1" s="4" t="inlineStr">
        <is>
          <t>Quiz Pass %</t>
        </is>
      </c>
      <c r="E1" s="4" t="inlineStr">
        <is>
          <t>Checklist Pass</t>
        </is>
      </c>
      <c r="F1" s="4" t="inlineStr">
        <is>
          <t>Rubric Pass Avg</t>
        </is>
      </c>
      <c r="G1" s="4" t="inlineStr">
        <is>
          <t>Critical Safety Errors Allowed</t>
        </is>
      </c>
      <c r="H1" s="4" t="inlineStr">
        <is>
          <t>Objective Metric Standard</t>
        </is>
      </c>
    </row>
    <row r="2">
      <c r="A2" s="6" t="inlineStr">
        <is>
          <t>STAP-1</t>
        </is>
      </c>
      <c r="B2" s="6" t="inlineStr">
        <is>
          <t>Stapler Fundamentals</t>
        </is>
      </c>
      <c r="C2" s="6" t="inlineStr">
        <is>
          <t>PGY1-2 / new fellows</t>
        </is>
      </c>
      <c r="D2" s="6" t="n">
        <v>80</v>
      </c>
      <c r="E2" s="6" t="n">
        <v>13</v>
      </c>
      <c r="F2" s="6" t="n">
        <v>3</v>
      </c>
      <c r="G2" s="6" t="n">
        <v>0</v>
      </c>
      <c r="H2" s="6" t="inlineStr">
        <is>
          <t>Acceptable staple line rate ≥80%; time ≤120 sec</t>
        </is>
      </c>
    </row>
    <row r="3">
      <c r="A3" s="6" t="inlineStr">
        <is>
          <t>STAP-2</t>
        </is>
      </c>
      <c r="B3" s="6" t="inlineStr">
        <is>
          <t>Thoracoscopic Stapling</t>
        </is>
      </c>
      <c r="C3" s="6" t="inlineStr">
        <is>
          <t>PGY2-5 / fellows</t>
        </is>
      </c>
      <c r="D3" s="6" t="n">
        <v>80</v>
      </c>
      <c r="E3" s="6" t="n">
        <v>13</v>
      </c>
      <c r="F3" s="6" t="n">
        <v>3</v>
      </c>
      <c r="G3" s="6" t="n">
        <v>0</v>
      </c>
      <c r="H3" s="6" t="inlineStr">
        <is>
          <t>Target capture accuracy ≥80%; no visualization loss events that risk safety</t>
        </is>
      </c>
    </row>
    <row r="4">
      <c r="A4" s="6" t="inlineStr">
        <is>
          <t>STAP-3</t>
        </is>
      </c>
      <c r="B4" s="6" t="inlineStr">
        <is>
          <t>Stapler Troubleshooting</t>
        </is>
      </c>
      <c r="C4" s="6" t="inlineStr">
        <is>
          <t>PGY3-5 / fellows</t>
        </is>
      </c>
      <c r="D4" s="6" t="n">
        <v>80</v>
      </c>
      <c r="E4" s="6" t="n">
        <v>13</v>
      </c>
      <c r="F4" s="6" t="n">
        <v>3</v>
      </c>
      <c r="G4" s="6" t="n">
        <v>0</v>
      </c>
      <c r="H4" s="6" t="inlineStr">
        <is>
          <t>Correct hazard recognition in all core scenarios</t>
        </is>
      </c>
    </row>
    <row r="5">
      <c r="A5" s="6" t="inlineStr">
        <is>
          <t>SUT-1</t>
        </is>
      </c>
      <c r="B5" s="6" t="inlineStr">
        <is>
          <t>Basic Endoscopic Suturing</t>
        </is>
      </c>
      <c r="C5" s="6" t="inlineStr">
        <is>
          <t>PGY1-2 / new fellows</t>
        </is>
      </c>
      <c r="D5" s="6" t="n">
        <v>80</v>
      </c>
      <c r="E5" s="6" t="n">
        <v>12</v>
      </c>
      <c r="F5" s="6" t="n">
        <v>3</v>
      </c>
      <c r="G5" s="6" t="n">
        <v>0</v>
      </c>
      <c r="H5" s="6" t="inlineStr">
        <is>
          <t>3 consecutive secure stitches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24" customWidth="1" min="8" max="8"/>
    <col width="14" customWidth="1" min="9" max="9"/>
    <col width="18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2" customWidth="1" min="17" max="17"/>
    <col width="14" customWidth="1" min="18" max="18"/>
    <col width="12" customWidth="1" min="19" max="19"/>
    <col width="18" customWidth="1" min="20" max="20"/>
    <col width="18" customWidth="1" min="21" max="21"/>
    <col width="30" customWidth="1" min="22" max="22"/>
  </cols>
  <sheetData>
    <row r="1">
      <c r="A1" s="4" t="inlineStr">
        <is>
          <t>Date</t>
        </is>
      </c>
      <c r="B1" s="4" t="inlineStr">
        <is>
          <t>Trainee ID</t>
        </is>
      </c>
      <c r="C1" s="4" t="inlineStr">
        <is>
          <t>Last Name</t>
        </is>
      </c>
      <c r="D1" s="4" t="inlineStr">
        <is>
          <t>First Name</t>
        </is>
      </c>
      <c r="E1" s="4" t="inlineStr">
        <is>
          <t>Role</t>
        </is>
      </c>
      <c r="F1" s="4" t="inlineStr">
        <is>
          <t>PGY/Level</t>
        </is>
      </c>
      <c r="G1" s="4" t="inlineStr">
        <is>
          <t>Module Code</t>
        </is>
      </c>
      <c r="H1" s="4" t="inlineStr">
        <is>
          <t>Module Name</t>
        </is>
      </c>
      <c r="I1" s="4" t="inlineStr">
        <is>
          <t>Setting</t>
        </is>
      </c>
      <c r="J1" s="4" t="inlineStr">
        <is>
          <t>Faculty Assessor</t>
        </is>
      </c>
      <c r="K1" s="4" t="inlineStr">
        <is>
          <t>Quiz Score</t>
        </is>
      </c>
      <c r="L1" s="4" t="inlineStr">
        <is>
          <t>Checklist Score</t>
        </is>
      </c>
      <c r="M1" s="4" t="inlineStr">
        <is>
          <t>Checklist Max</t>
        </is>
      </c>
      <c r="N1" s="4" t="inlineStr">
        <is>
          <t>Rubric Avg</t>
        </is>
      </c>
      <c r="O1" s="4" t="inlineStr">
        <is>
          <t>Critical Safety Failures</t>
        </is>
      </c>
      <c r="P1" s="4" t="inlineStr">
        <is>
          <t>Metric 1 Name</t>
        </is>
      </c>
      <c r="Q1" s="4" t="inlineStr">
        <is>
          <t>Metric 1 Value</t>
        </is>
      </c>
      <c r="R1" s="4" t="inlineStr">
        <is>
          <t>Metric 2 Name</t>
        </is>
      </c>
      <c r="S1" s="4" t="inlineStr">
        <is>
          <t>Metric 2 Value</t>
        </is>
      </c>
      <c r="T1" s="4" t="inlineStr">
        <is>
          <t>Entrustment</t>
        </is>
      </c>
      <c r="U1" s="4" t="inlineStr">
        <is>
          <t>Pass/Needs Remediation</t>
        </is>
      </c>
      <c r="V1" s="4" t="inlineStr">
        <is>
          <t>Comments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6" t="n"/>
    </row>
  </sheetData>
  <dataValidations count="4">
    <dataValidation sqref="E2:E302" showDropDown="0" showInputMessage="0" showErrorMessage="0" allowBlank="1" type="list">
      <formula1>"Resident,Fellow"</formula1>
    </dataValidation>
    <dataValidation sqref="I2:I302" showDropDown="0" showInputMessage="0" showErrorMessage="0" allowBlank="1" type="list">
      <formula1>"Simulation Lab,Wet Lab,OR,Cadaveric Lab,Other"</formula1>
    </dataValidation>
    <dataValidation sqref="T2:T302" showDropDown="0" showInputMessage="0" showErrorMessage="0" allowBlank="1" type="list">
      <formula1>"Level 1,Level 2,Level 3,Level 4,Level 5"</formula1>
    </dataValidation>
    <dataValidation sqref="U2:U302" showDropDown="0" showInputMessage="0" showErrorMessage="0" allowBlank="1" type="list">
      <formula1>"Pass,Needs Remediation"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0" customWidth="1" min="5" max="5"/>
    <col width="12" customWidth="1" min="6" max="6"/>
    <col width="16" customWidth="1" min="7" max="7"/>
    <col width="14" customWidth="1" min="8" max="8"/>
    <col width="12" customWidth="1" min="9" max="9"/>
    <col width="30" customWidth="1" min="10" max="10"/>
  </cols>
  <sheetData>
    <row r="1">
      <c r="A1" s="4" t="inlineStr">
        <is>
          <t>Date</t>
        </is>
      </c>
      <c r="B1" s="4" t="inlineStr">
        <is>
          <t>Trainee ID</t>
        </is>
      </c>
      <c r="C1" s="4" t="inlineStr">
        <is>
          <t>Module Code</t>
        </is>
      </c>
      <c r="D1" s="4" t="inlineStr">
        <is>
          <t>Exercise</t>
        </is>
      </c>
      <c r="E1" s="4" t="inlineStr">
        <is>
          <t>Attempt #</t>
        </is>
      </c>
      <c r="F1" s="4" t="inlineStr">
        <is>
          <t>Time (sec)</t>
        </is>
      </c>
      <c r="G1" s="4" t="inlineStr">
        <is>
          <t>Deviation/Accuracy</t>
        </is>
      </c>
      <c r="H1" s="4" t="inlineStr">
        <is>
          <t>Acceptable Line?</t>
        </is>
      </c>
      <c r="I1" s="4" t="inlineStr">
        <is>
          <t>Errors</t>
        </is>
      </c>
      <c r="J1" s="4" t="inlineStr">
        <is>
          <t>Faculty 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6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6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6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6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6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6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6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6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6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6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6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6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6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6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6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6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6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6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6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6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6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6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6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6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6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6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6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6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6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6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6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6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6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6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6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6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6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6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6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6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6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6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6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6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6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6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6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6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6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6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6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6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6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6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6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6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6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6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6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6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6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6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6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6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6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6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6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6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6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6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6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6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6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6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6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6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6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6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6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6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6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6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6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6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6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6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6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6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6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6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6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6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6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6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6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6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6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6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6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6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6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6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6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6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6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6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6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6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6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6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6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6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6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6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6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6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6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6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6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6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6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6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6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6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6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6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6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6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6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6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6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6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6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6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6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6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6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6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6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6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6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6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6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6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6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6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6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6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6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6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6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6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6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6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6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6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6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6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6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6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6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6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6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6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6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6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6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6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6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6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6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6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6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6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6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6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6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6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6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6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6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6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6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6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6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6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6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6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6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6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6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6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6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6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6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6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6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6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6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6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6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6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6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6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6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6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6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6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6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6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6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6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6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6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6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6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6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6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6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6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6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6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6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6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6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6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6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6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6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6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6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6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6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6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6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6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6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6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6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6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6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6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6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6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6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6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6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6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6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6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6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6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6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6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6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6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6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6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6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6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6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6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6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6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6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6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6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6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6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6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6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6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6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6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6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6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6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6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6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6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6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6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6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6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6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6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6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6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6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6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6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6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6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6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6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6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6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6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6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6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6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6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6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6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6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6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6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6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6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6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6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6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6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6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6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6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6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6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6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6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6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6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6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6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6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6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6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6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6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6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6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6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6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6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6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6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6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6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6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6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6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6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6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6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6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6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6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6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6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6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6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6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6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6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6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6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6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6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6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6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6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6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6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6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6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6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6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6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6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6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6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6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6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6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6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6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6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6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6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6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6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6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6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6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6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6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6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6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6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6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6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6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6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6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6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6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6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6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6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6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6" t="n"/>
    </row>
  </sheetData>
  <dataValidations count="1">
    <dataValidation sqref="H2:H50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Curriculum Dashboard</t>
        </is>
      </c>
    </row>
    <row r="2"/>
    <row r="3">
      <c r="A3" s="8" t="inlineStr">
        <is>
          <t>Metric</t>
        </is>
      </c>
      <c r="B3" s="8" t="inlineStr">
        <is>
          <t>Formula/Result</t>
        </is>
      </c>
    </row>
    <row r="4">
      <c r="A4" t="inlineStr">
        <is>
          <t>Total logged sessions</t>
        </is>
      </c>
      <c r="B4">
        <f>COUNTA('Session Log'!A:A)-1</f>
        <v/>
      </c>
    </row>
    <row r="5">
      <c r="A5" t="inlineStr">
        <is>
          <t>Total trainees on roster</t>
        </is>
      </c>
      <c r="B5">
        <f>COUNTA(Roster!A:A)-1</f>
        <v/>
      </c>
    </row>
    <row r="6">
      <c r="A6" t="inlineStr">
        <is>
          <t>Pass count</t>
        </is>
      </c>
      <c r="B6">
        <f>COUNTIF('Session Log'!U:U,"Pass")</f>
        <v/>
      </c>
    </row>
    <row r="7">
      <c r="A7" t="inlineStr">
        <is>
          <t>Needs remediation</t>
        </is>
      </c>
      <c r="B7">
        <f>COUNTIF('Session Log'!U:U,"Needs Remediation")</f>
        <v/>
      </c>
    </row>
    <row r="8">
      <c r="A8" t="inlineStr">
        <is>
          <t>Mean quiz score</t>
        </is>
      </c>
      <c r="B8">
        <f>IFERROR(AVERAGE('Session Log'!K:K),"")</f>
        <v/>
      </c>
    </row>
    <row r="9">
      <c r="A9" t="inlineStr">
        <is>
          <t>Mean checklist score</t>
        </is>
      </c>
      <c r="B9">
        <f>IFERROR(AVERAGE('Session Log'!L:L),"")</f>
        <v/>
      </c>
    </row>
    <row r="10">
      <c r="A10" t="inlineStr">
        <is>
          <t>Mean rubric average</t>
        </is>
      </c>
      <c r="B10">
        <f>IFERROR(AVERAGE('Session Log'!N:N),"")</f>
        <v/>
      </c>
    </row>
    <row r="11"/>
    <row r="12">
      <c r="A12" s="8" t="inlineStr">
        <is>
          <t>Trainees needing remediation</t>
        </is>
      </c>
    </row>
    <row r="13">
      <c r="A13" s="9" t="inlineStr">
        <is>
          <t>Trainee ID</t>
        </is>
      </c>
      <c r="B13" s="9" t="inlineStr">
        <is>
          <t>Last Name</t>
        </is>
      </c>
      <c r="C13" s="9" t="inlineStr">
        <is>
          <t>First Name</t>
        </is>
      </c>
      <c r="D13" s="9" t="inlineStr">
        <is>
          <t>Module</t>
        </is>
      </c>
      <c r="E13" s="9" t="inlineStr">
        <is>
          <t>Status</t>
        </is>
      </c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2026-04-23T00:46:47Z</dcterms:created>
  <dcterms:modified xmlns:dcterms="http://purl.org/dc/terms/" xmlns:xsi="http://www.w3.org/2001/XMLSchema-instance" xsi:type="dcterms:W3CDTF">2026-04-23T00:46:47Z</dcterms:modified>
</cp:coreProperties>
</file>